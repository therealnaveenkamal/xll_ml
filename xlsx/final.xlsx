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Desktop\cpp_course\final\xll_ml\xlsx\"/>
    </mc:Choice>
  </mc:AlternateContent>
  <xr:revisionPtr revIDLastSave="0" documentId="13_ncr:1_{5E496CB0-3E43-4E17-B093-D7300FE34621}" xr6:coauthVersionLast="47" xr6:coauthVersionMax="47" xr10:uidLastSave="{00000000-0000-0000-0000-000000000000}"/>
  <bookViews>
    <workbookView xWindow="-96" yWindow="-96" windowWidth="20712" windowHeight="12300" xr2:uid="{9BE03A92-AE89-48A8-9E12-797A60FC8C99}"/>
  </bookViews>
  <sheets>
    <sheet name="Sheet1" sheetId="1" r:id="rId1"/>
  </sheets>
  <definedNames>
    <definedName name="discrete">Sheet1!$F$2</definedName>
    <definedName name="f">Sheet1!$J$2</definedName>
    <definedName name="k">Sheet1!$J$4</definedName>
    <definedName name="n">Sheet1!$C$2</definedName>
    <definedName name="normal">Sheet1!$H$2</definedName>
    <definedName name="s">Sheet1!$J$3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 a="1"/>
  <c r="J6" i="1" a="1"/>
  <c r="H2" i="1" a="1"/>
  <c r="H2" i="1" l="1"/>
  <c r="B5" i="1"/>
  <c r="C5" i="1" s="1" a="1"/>
  <c r="C5" i="1" s="1"/>
  <c r="J6" i="1"/>
  <c r="K6" i="1" a="1"/>
  <c r="D5" i="1" l="1" a="1"/>
  <c r="D5" i="1" s="1"/>
  <c r="K6" i="1"/>
  <c r="F2" i="1" a="1"/>
  <c r="F2" i="1" l="1"/>
  <c r="L6" i="1" a="1"/>
  <c r="F5" i="1" a="1"/>
  <c r="F5" i="1" l="1"/>
  <c r="L6" i="1"/>
  <c r="H20" i="1" l="1" a="1"/>
  <c r="H20" i="1" s="1"/>
  <c r="H21" i="1" a="1"/>
  <c r="H2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Keith Lewis</author>
  </authors>
  <commentList>
    <comment ref="C2" authorId="0" shapeId="0" xr:uid="{96B00617-888E-49D2-9FA2-33CBF4F0D8F4}">
      <text>
        <r>
          <rPr>
            <b/>
            <sz val="11"/>
            <color indexed="81"/>
            <rFont val="Tahoma"/>
            <family val="2"/>
          </rPr>
          <t>Make sure the spreadsheet works for any n</t>
        </r>
      </text>
    </comment>
    <comment ref="F2" authorId="0" shapeId="0" xr:uid="{62524311-196A-4378-BA65-1EECD6832A16}">
      <text>
        <r>
          <rPr>
            <b/>
            <sz val="11"/>
            <color indexed="81"/>
            <rFont val="Tahoma"/>
            <family val="2"/>
          </rPr>
          <t>Create discrete distribution from x, p</t>
        </r>
      </text>
    </comment>
    <comment ref="F3" authorId="0" shapeId="0" xr:uid="{41D1B049-24BC-44B5-9D86-A9FF8847899B}">
      <text>
        <r>
          <rPr>
            <b/>
            <sz val="11"/>
            <color indexed="81"/>
            <rFont val="Tahoma"/>
            <family val="2"/>
          </rPr>
          <t>Get normalized x's
Test they have mean 0 and variance 1</t>
        </r>
      </text>
    </comment>
    <comment ref="L6" authorId="0" shapeId="0" xr:uid="{0C40FB78-1452-47ED-899C-1437529FCBA3}">
      <text>
        <r>
          <rPr>
            <b/>
            <sz val="11"/>
            <color indexed="81"/>
            <rFont val="Tahoma"/>
            <family val="2"/>
          </rPr>
          <t>Put values using the discrete distribution.</t>
        </r>
      </text>
    </comment>
    <comment ref="N6" authorId="0" shapeId="0" xr:uid="{7D38816F-797C-4005-B396-65538BF6EEC5}">
      <text>
        <r>
          <rPr>
            <b/>
            <sz val="11"/>
            <color indexed="81"/>
            <rFont val="Tahoma"/>
            <family val="2"/>
          </rPr>
          <t>Insert graph of strike versus normal and discrete put values.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<sst xmlns="http://schemas.openxmlformats.org/spreadsheetml/2006/main" count="13" uniqueCount="13">
  <si>
    <t>n</t>
  </si>
  <si>
    <t>p</t>
  </si>
  <si>
    <t>x</t>
  </si>
  <si>
    <t>normal</t>
  </si>
  <si>
    <t>discrete</t>
  </si>
  <si>
    <t>f</t>
  </si>
  <si>
    <t>s</t>
  </si>
  <si>
    <t>k</t>
  </si>
  <si>
    <t>normal_put</t>
  </si>
  <si>
    <t>discrete_put</t>
  </si>
  <si>
    <t>strike</t>
  </si>
  <si>
    <t>MEAN</t>
  </si>
  <si>
    <t>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</si>
</sst>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0x&quot;#"/>
  </numFmts>
  <fonts count="5" x14ac:knownFonts="1">
    <font>
      <sz val="14"/>
      <color theme="1"/>
      <name val="Aptos Narrow"/>
      <family val="2"/>
      <scheme val="minor"/>
    </font>
    <font>
      <sz val="8"/>
      <color indexed="63"/>
      <name val="Aptos Narrow"/>
      <family val="2"/>
      <scheme val="minor"/>
    </font>
    <font>
      <b/>
      <sz val="11"/>
      <color indexed="81"/>
      <name val="Tahoma"/>
      <family val="2"/>
    </font>
    <font>
      <b/>
      <sz val="14"/>
      <color theme="1"/>
      <name val="Aptos Narrow"/>
      <family val="2"/>
      <scheme val="minor"/>
    </font>
    <font>
      <sz val="14"/>
      <color indexed="6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>
      <alignment horizontal="center"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/>
    <xf numFmtId="164" fontId="4" fillId="0" borderId="0" xfId="1" applyFont="1">
      <alignment horizontal="center" vertical="center"/>
    </xf>
  </cellXfs>
  <cellStyles count="2">
    <cellStyle name="Handle" xfId="1" xr:uid="{EDA68434-B044-46B3-A24D-88082F2D5A02}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Normal</a:t>
            </a:r>
            <a:r>
              <a:rPr lang="en-US" baseline="0"/>
              <a:t> vs Discrete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Sheet1!$K$5</c:f>
              <c:strCache>
                <c:ptCount val="1"/>
                <c:pt idx="0">
                  <c:v>normal_put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Sheet1!$J$6:$J$46</c:f>
              <c:numCache>
                <c:formatCode>General</c:formatCode>
                <c:ptCount val="41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  <c:pt idx="10">
                  <c:v>90</c:v>
                </c:pt>
                <c:pt idx="11">
                  <c:v>91</c:v>
                </c:pt>
                <c:pt idx="12">
                  <c:v>92</c:v>
                </c:pt>
                <c:pt idx="13">
                  <c:v>93</c:v>
                </c:pt>
                <c:pt idx="14">
                  <c:v>94</c:v>
                </c:pt>
                <c:pt idx="15">
                  <c:v>95</c:v>
                </c:pt>
                <c:pt idx="16">
                  <c:v>96</c:v>
                </c:pt>
                <c:pt idx="17">
                  <c:v>97</c:v>
                </c:pt>
                <c:pt idx="18">
                  <c:v>98</c:v>
                </c:pt>
                <c:pt idx="19">
                  <c:v>99</c:v>
                </c:pt>
                <c:pt idx="20">
                  <c:v>100</c:v>
                </c:pt>
                <c:pt idx="21">
                  <c:v>101</c:v>
                </c:pt>
                <c:pt idx="22">
                  <c:v>102</c:v>
                </c:pt>
                <c:pt idx="23">
                  <c:v>103</c:v>
                </c:pt>
                <c:pt idx="24">
                  <c:v>104</c:v>
                </c:pt>
                <c:pt idx="25">
                  <c:v>105</c:v>
                </c:pt>
                <c:pt idx="26">
                  <c:v>106</c:v>
                </c:pt>
                <c:pt idx="27">
                  <c:v>107</c:v>
                </c:pt>
                <c:pt idx="28">
                  <c:v>108</c:v>
                </c:pt>
                <c:pt idx="29">
                  <c:v>109</c:v>
                </c:pt>
                <c:pt idx="30">
                  <c:v>110</c:v>
                </c:pt>
                <c:pt idx="31">
                  <c:v>111</c:v>
                </c:pt>
                <c:pt idx="32">
                  <c:v>112</c:v>
                </c:pt>
                <c:pt idx="33">
                  <c:v>113</c:v>
                </c:pt>
                <c:pt idx="34">
                  <c:v>114</c:v>
                </c:pt>
                <c:pt idx="35">
                  <c:v>115</c:v>
                </c:pt>
                <c:pt idx="36">
                  <c:v>116</c:v>
                </c:pt>
                <c:pt idx="37">
                  <c:v>117</c:v>
                </c:pt>
                <c:pt idx="38">
                  <c:v>118</c:v>
                </c:pt>
                <c:pt idx="39">
                  <c:v>119</c:v>
                </c:pt>
                <c:pt idx="40">
                  <c:v>120</c:v>
                </c:pt>
              </c:numCache>
            </c:numRef>
          </c:cat>
          <c:val>
            <c:numRef>
              <c:f>Sheet1!$K$6:$K$46</c:f>
              <c:numCache>
                <c:formatCode>General</c:formatCode>
                <c:ptCount val="41"/>
                <c:pt idx="0">
                  <c:v>3.9914343421845189E-2</c:v>
                </c:pt>
                <c:pt idx="1">
                  <c:v>5.7008934088098151E-2</c:v>
                </c:pt>
                <c:pt idx="2">
                  <c:v>8.0058534547871929E-2</c:v>
                </c:pt>
                <c:pt idx="3">
                  <c:v>0.11061799019468133</c:v>
                </c:pt>
                <c:pt idx="4">
                  <c:v>0.15048353300942274</c:v>
                </c:pt>
                <c:pt idx="5">
                  <c:v>0.20168732797265765</c:v>
                </c:pt>
                <c:pt idx="6">
                  <c:v>0.26648097458621844</c:v>
                </c:pt>
                <c:pt idx="7">
                  <c:v>0.34730740212793787</c:v>
                </c:pt>
                <c:pt idx="8">
                  <c:v>0.44676133725329414</c:v>
                </c:pt>
                <c:pt idx="9">
                  <c:v>0.56753930674006803</c:v>
                </c:pt>
                <c:pt idx="10">
                  <c:v>0.71238089607367172</c:v>
                </c:pt>
                <c:pt idx="11">
                  <c:v>0.88400364647703356</c:v>
                </c:pt>
                <c:pt idx="12">
                  <c:v>1.0850344779622993</c:v>
                </c:pt>
                <c:pt idx="13">
                  <c:v>1.3179408286409817</c:v>
                </c:pt>
                <c:pt idx="14">
                  <c:v>1.5849647756893894</c:v>
                </c:pt>
                <c:pt idx="15">
                  <c:v>1.8880632480607282</c:v>
                </c:pt>
                <c:pt idx="16">
                  <c:v>2.2288570738163145</c:v>
                </c:pt>
                <c:pt idx="17">
                  <c:v>2.6085910627585847</c:v>
                </c:pt>
                <c:pt idx="18">
                  <c:v>3.0281066582734937</c:v>
                </c:pt>
                <c:pt idx="19">
                  <c:v>3.4878279587501879</c:v>
                </c:pt>
                <c:pt idx="20">
                  <c:v>3.987761167674492</c:v>
                </c:pt>
                <c:pt idx="21">
                  <c:v>4.5275068370385512</c:v>
                </c:pt>
                <c:pt idx="22">
                  <c:v>5.1062836665495652</c:v>
                </c:pt>
                <c:pt idx="23">
                  <c:v>5.7229621445706016</c:v>
                </c:pt>
                <c:pt idx="24">
                  <c:v>6.376105985444056</c:v>
                </c:pt>
                <c:pt idx="25">
                  <c:v>7.0640191378988391</c:v>
                </c:pt>
                <c:pt idx="26">
                  <c:v>7.7847961044341929</c:v>
                </c:pt>
                <c:pt idx="27">
                  <c:v>8.5363734057617648</c:v>
                </c:pt>
                <c:pt idx="28">
                  <c:v>9.3165802243033653</c:v>
                </c:pt>
                <c:pt idx="29">
                  <c:v>10.123186539019287</c:v>
                </c:pt>
                <c:pt idx="30">
                  <c:v>10.953947391857227</c:v>
                </c:pt>
                <c:pt idx="31">
                  <c:v>11.806642276452777</c:v>
                </c:pt>
                <c:pt idx="32">
                  <c:v>12.679108988059141</c:v>
                </c:pt>
                <c:pt idx="33">
                  <c:v>13.569271600088328</c:v>
                </c:pt>
                <c:pt idx="34">
                  <c:v>14.47516252219144</c:v>
                </c:pt>
                <c:pt idx="35">
                  <c:v>15.394938837716396</c:v>
                </c:pt>
                <c:pt idx="36">
                  <c:v>16.326893309710854</c:v>
                </c:pt>
                <c:pt idx="37">
                  <c:v>17.269460583629098</c:v>
                </c:pt>
                <c:pt idx="38">
                  <c:v>18.221219204170339</c:v>
                </c:pt>
                <c:pt idx="39">
                  <c:v>19.180890108309015</c:v>
                </c:pt>
                <c:pt idx="40">
                  <c:v>20.14733226325697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4E-407F-B8C6-D5A05C5F2D5D}"/>
            </c:ext>
          </c:extLst>
        </c:ser>
        <c:ser>
          <c:idx val="1"/>
          <c:order val="1"/>
          <c:tx>
            <c:strRef>
              <c:f>Sheet1!$L$5</c:f>
              <c:strCache>
                <c:ptCount val="1"/>
                <c:pt idx="0">
                  <c:v>discrete_put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Sheet1!$J$6:$J$46</c:f>
              <c:numCache>
                <c:formatCode>General</c:formatCode>
                <c:ptCount val="41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  <c:pt idx="10">
                  <c:v>90</c:v>
                </c:pt>
                <c:pt idx="11">
                  <c:v>91</c:v>
                </c:pt>
                <c:pt idx="12">
                  <c:v>92</c:v>
                </c:pt>
                <c:pt idx="13">
                  <c:v>93</c:v>
                </c:pt>
                <c:pt idx="14">
                  <c:v>94</c:v>
                </c:pt>
                <c:pt idx="15">
                  <c:v>95</c:v>
                </c:pt>
                <c:pt idx="16">
                  <c:v>96</c:v>
                </c:pt>
                <c:pt idx="17">
                  <c:v>97</c:v>
                </c:pt>
                <c:pt idx="18">
                  <c:v>98</c:v>
                </c:pt>
                <c:pt idx="19">
                  <c:v>99</c:v>
                </c:pt>
                <c:pt idx="20">
                  <c:v>100</c:v>
                </c:pt>
                <c:pt idx="21">
                  <c:v>101</c:v>
                </c:pt>
                <c:pt idx="22">
                  <c:v>102</c:v>
                </c:pt>
                <c:pt idx="23">
                  <c:v>103</c:v>
                </c:pt>
                <c:pt idx="24">
                  <c:v>104</c:v>
                </c:pt>
                <c:pt idx="25">
                  <c:v>105</c:v>
                </c:pt>
                <c:pt idx="26">
                  <c:v>106</c:v>
                </c:pt>
                <c:pt idx="27">
                  <c:v>107</c:v>
                </c:pt>
                <c:pt idx="28">
                  <c:v>108</c:v>
                </c:pt>
                <c:pt idx="29">
                  <c:v>109</c:v>
                </c:pt>
                <c:pt idx="30">
                  <c:v>110</c:v>
                </c:pt>
                <c:pt idx="31">
                  <c:v>111</c:v>
                </c:pt>
                <c:pt idx="32">
                  <c:v>112</c:v>
                </c:pt>
                <c:pt idx="33">
                  <c:v>113</c:v>
                </c:pt>
                <c:pt idx="34">
                  <c:v>114</c:v>
                </c:pt>
                <c:pt idx="35">
                  <c:v>115</c:v>
                </c:pt>
                <c:pt idx="36">
                  <c:v>116</c:v>
                </c:pt>
                <c:pt idx="37">
                  <c:v>117</c:v>
                </c:pt>
                <c:pt idx="38">
                  <c:v>118</c:v>
                </c:pt>
                <c:pt idx="39">
                  <c:v>119</c:v>
                </c:pt>
                <c:pt idx="40">
                  <c:v>120</c:v>
                </c:pt>
              </c:numCache>
            </c:numRef>
          </c:cat>
          <c:val>
            <c:numRef>
              <c:f>Sheet1!$L$6:$L$46</c:f>
              <c:numCache>
                <c:formatCode>General</c:formatCode>
                <c:ptCount val="41"/>
                <c:pt idx="0">
                  <c:v>3.4047379960682522E-2</c:v>
                </c:pt>
                <c:pt idx="1">
                  <c:v>4.4789567460682522E-2</c:v>
                </c:pt>
                <c:pt idx="2">
                  <c:v>5.5531754960682522E-2</c:v>
                </c:pt>
                <c:pt idx="3">
                  <c:v>9.6806891217839031E-2</c:v>
                </c:pt>
                <c:pt idx="4">
                  <c:v>0.15149439121783903</c:v>
                </c:pt>
                <c:pt idx="5">
                  <c:v>0.20618189121783903</c:v>
                </c:pt>
                <c:pt idx="6">
                  <c:v>0.26086939121783903</c:v>
                </c:pt>
                <c:pt idx="7">
                  <c:v>0.31555689121783903</c:v>
                </c:pt>
                <c:pt idx="8">
                  <c:v>0.40788732068490319</c:v>
                </c:pt>
                <c:pt idx="9">
                  <c:v>0.57976232068490319</c:v>
                </c:pt>
                <c:pt idx="10">
                  <c:v>0.75163732068490319</c:v>
                </c:pt>
                <c:pt idx="11">
                  <c:v>0.92351232068490319</c:v>
                </c:pt>
                <c:pt idx="12">
                  <c:v>1.0953873206849032</c:v>
                </c:pt>
                <c:pt idx="13">
                  <c:v>1.2672623206849032</c:v>
                </c:pt>
                <c:pt idx="14">
                  <c:v>1.561530627262492</c:v>
                </c:pt>
                <c:pt idx="15">
                  <c:v>1.938483752262492</c:v>
                </c:pt>
                <c:pt idx="16">
                  <c:v>2.315436877262492</c:v>
                </c:pt>
                <c:pt idx="17">
                  <c:v>2.692390002262492</c:v>
                </c:pt>
                <c:pt idx="18">
                  <c:v>3.069343127262492</c:v>
                </c:pt>
                <c:pt idx="19">
                  <c:v>3.446296252262492</c:v>
                </c:pt>
                <c:pt idx="20">
                  <c:v>3.9459687470320333</c:v>
                </c:pt>
                <c:pt idx="21">
                  <c:v>4.5690156220320333</c:v>
                </c:pt>
                <c:pt idx="22">
                  <c:v>5.1920624970320333</c:v>
                </c:pt>
                <c:pt idx="23">
                  <c:v>5.8151093720320333</c:v>
                </c:pt>
                <c:pt idx="24">
                  <c:v>6.4381562470320333</c:v>
                </c:pt>
                <c:pt idx="25">
                  <c:v>7.0612031220320333</c:v>
                </c:pt>
                <c:pt idx="26">
                  <c:v>7.6847395769465408</c:v>
                </c:pt>
                <c:pt idx="27">
                  <c:v>8.5128645769465408</c:v>
                </c:pt>
                <c:pt idx="28">
                  <c:v>9.3409895769465408</c:v>
                </c:pt>
                <c:pt idx="29">
                  <c:v>10.169114576946541</c:v>
                </c:pt>
                <c:pt idx="30">
                  <c:v>10.997239576946541</c:v>
                </c:pt>
                <c:pt idx="31">
                  <c:v>11.825364576946541</c:v>
                </c:pt>
                <c:pt idx="32">
                  <c:v>12.653489576946541</c:v>
                </c:pt>
                <c:pt idx="33">
                  <c:v>13.49122085642486</c:v>
                </c:pt>
                <c:pt idx="34">
                  <c:v>14.43653335642486</c:v>
                </c:pt>
                <c:pt idx="35">
                  <c:v>15.38184585642486</c:v>
                </c:pt>
                <c:pt idx="36">
                  <c:v>16.32715835642486</c:v>
                </c:pt>
                <c:pt idx="37">
                  <c:v>17.27247085642486</c:v>
                </c:pt>
                <c:pt idx="38">
                  <c:v>18.21778335642486</c:v>
                </c:pt>
                <c:pt idx="39">
                  <c:v>19.16309585642486</c:v>
                </c:pt>
                <c:pt idx="40">
                  <c:v>20.10840835642486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4E-407F-B8C6-D5A05C5F2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6056048"/>
        <c:axId val="536056528"/>
      </c:barChart>
      <c:catAx>
        <c:axId val="53605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056528"/>
        <c:crosses val="autoZero"/>
        <c:auto val="1"/>
        <c:lblAlgn val="ctr"/>
        <c:lblOffset val="100"/>
        <c:noMultiLvlLbl val="0"/>
      </c:catAx>
      <c:valAx>
        <c:axId val="53605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05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48391</xdr:colOff>
      <xdr:row>2</xdr:row>
      <xdr:rowOff>40967</xdr:rowOff>
    </xdr:from>
    <xdr:to>
      <xdr:col>19</xdr:col>
      <xdr:colOff>762000</xdr:colOff>
      <xdr:row>18</xdr:row>
      <xdr:rowOff>180771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66EFF0-786F-8353-E6D2-92ED725C93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33FE1-19FB-4A1D-86C4-C34A7A2ACCE3}">
  <dimension ref="B2:N46"/>
  <sheetViews>
    <sheetView tabSelected="1" topLeftCell="F1" zoomScale="88" zoomScaleNormal="90" workbookViewId="0">
      <selection activeCell="H3" sqref="H3"/>
    </sheetView>
  </sheetViews>
  <sheetFormatPr defaultRowHeight="18.3" x14ac:dyDescent="0.7"/>
  <cols>
    <col min="1" max="1" width="3.58203125" customWidth="1"/>
    <col min="3" max="3" width="12.45703125" customWidth="1"/>
    <col min="6" max="6" width="16.4140625" customWidth="1"/>
    <col min="7" max="7" width="22.375" customWidth="1"/>
    <col min="8" max="8" width="16.58203125" customWidth="1"/>
    <col min="9" max="9" width="5.9140625" customWidth="1"/>
    <col min="11" max="11" width="11.75" customWidth="1"/>
    <col min="12" max="12" width="10.45703125" bestFit="1" customWidth="1"/>
  </cols>
  <sheetData>
    <row r="2" spans="2:14" ht="35.1" customHeight="1" x14ac:dyDescent="0.7">
      <c r="B2" s="2" t="s">
        <v>0</v>
      </c>
      <c r="C2">
        <v>10</v>
      </c>
      <c r="E2" s="2" t="s">
        <v>4</v>
      </c>
      <c r="F2" s="4" cm="1">
        <f t="array" ref="F2">_xll.\OPTION.DISCRETE(D5:INDEX(D:D, 5+$C$2), C5:INDEX(C:C, 5+$C$2))</f>
        <v>2260598162912</v>
      </c>
      <c r="G2" s="2" t="s">
        <v>3</v>
      </c>
      <c r="H2" s="4" cm="1">
        <f t="array" ref="H2">_xll.\OPTION.NORMAL()</f>
        <v>2260971756320</v>
      </c>
      <c r="I2" s="2" t="s">
        <v>5</v>
      </c>
      <c r="J2">
        <v>100</v>
      </c>
    </row>
    <row r="3" spans="2:14" ht="29.1" customHeight="1" x14ac:dyDescent="0.7">
      <c r="I3" s="2" t="s">
        <v>6</v>
      </c>
      <c r="J3">
        <v>0.1</v>
      </c>
    </row>
    <row r="4" spans="2:14" x14ac:dyDescent="0.7">
      <c r="C4" s="1" t="s">
        <v>1</v>
      </c>
      <c r="D4" s="1" t="s">
        <v>2</v>
      </c>
      <c r="I4" s="2" t="s">
        <v>7</v>
      </c>
      <c r="J4">
        <v>100</v>
      </c>
    </row>
    <row r="5" spans="2:14" x14ac:dyDescent="0.7">
      <c r="B5" cm="1">
        <f t="array" ref="B5:B15">_xlfn.SEQUENCE(n+1,1,0)</f>
        <v>0</v>
      </c>
      <c r="C5" cm="1">
        <f t="array" ref="C5:C15">_xlfn.BINOM.DIST(_xlfn.ANCHORARRAY(B5),$C$2, 0.5, FALSE)</f>
        <v>9.765625E-4</v>
      </c>
      <c r="D5" cm="1">
        <f t="array" ref="D5:D15">_xlfn.ANCHORARRAY(B5)</f>
        <v>0</v>
      </c>
      <c r="F5" cm="1">
        <f t="array" ref="F5:F15">_xll.OPTION.DISCRETE(F2)</f>
        <v>-3.1622776601683795</v>
      </c>
      <c r="J5" s="1" t="s">
        <v>10</v>
      </c>
      <c r="K5" s="2" t="s">
        <v>8</v>
      </c>
      <c r="L5" t="s">
        <v>9</v>
      </c>
    </row>
    <row r="6" spans="2:14" x14ac:dyDescent="0.7">
      <c r="B6">
        <v>1</v>
      </c>
      <c r="C6">
        <v>9.7656250000000017E-3</v>
      </c>
      <c r="D6">
        <v>1</v>
      </c>
      <c r="F6">
        <v>-2.5298221281347035</v>
      </c>
      <c r="I6">
        <v>80</v>
      </c>
      <c r="J6" cm="1">
        <f t="array" ref="J6:J46">_xll.ARRAY.SEQUENCE(I6,I7,I8)</f>
        <v>80</v>
      </c>
      <c r="K6" cm="1">
        <f t="array" ref="K6:K46">_xlfn.MAP(_xlfn.ANCHORARRAY(J6),_xlfn.LAMBDA(_xlpm.k,_xll.OPTION.BLACK.PUT(f,s,_xlpm.k,normal)))</f>
        <v>3.9914343421845189E-2</v>
      </c>
      <c r="L6" cm="1">
        <f t="array" ref="L6:L46">_xlfn.MAP(_xlfn.ANCHORARRAY(J6), _xlfn.LAMBDA(_xlpm.k, _xll.OPTION.BLACK.PUT($J$2, $J$3, _xlpm.k, $F$2)))</f>
        <v>3.4047379960682522E-2</v>
      </c>
    </row>
    <row r="7" spans="2:14" x14ac:dyDescent="0.7">
      <c r="B7">
        <v>2</v>
      </c>
      <c r="C7">
        <v>4.3945312499999972E-2</v>
      </c>
      <c r="D7">
        <v>2</v>
      </c>
      <c r="F7">
        <v>-1.8973665961010278</v>
      </c>
      <c r="I7">
        <v>120</v>
      </c>
      <c r="J7">
        <v>81</v>
      </c>
      <c r="K7">
        <v>5.7008934088098151E-2</v>
      </c>
      <c r="L7">
        <v>4.4789567460682522E-2</v>
      </c>
    </row>
    <row r="8" spans="2:14" x14ac:dyDescent="0.7">
      <c r="B8">
        <v>3</v>
      </c>
      <c r="C8">
        <v>0.11718750000000003</v>
      </c>
      <c r="D8">
        <v>3</v>
      </c>
      <c r="F8">
        <v>-1.2649110640673518</v>
      </c>
      <c r="I8">
        <v>1</v>
      </c>
      <c r="J8">
        <v>82</v>
      </c>
      <c r="K8">
        <v>8.0058534547871929E-2</v>
      </c>
      <c r="L8">
        <v>5.5531754960682522E-2</v>
      </c>
    </row>
    <row r="9" spans="2:14" x14ac:dyDescent="0.7">
      <c r="B9">
        <v>4</v>
      </c>
      <c r="C9">
        <v>0.20507812500000006</v>
      </c>
      <c r="D9">
        <v>4</v>
      </c>
      <c r="F9">
        <v>-0.63245553203367588</v>
      </c>
      <c r="J9">
        <v>83</v>
      </c>
      <c r="K9">
        <v>0.11061799019468133</v>
      </c>
      <c r="L9">
        <v>9.6806891217839031E-2</v>
      </c>
    </row>
    <row r="10" spans="2:14" x14ac:dyDescent="0.7">
      <c r="B10">
        <v>5</v>
      </c>
      <c r="C10">
        <v>0.24609375000000011</v>
      </c>
      <c r="D10">
        <v>5</v>
      </c>
      <c r="F10">
        <v>0</v>
      </c>
      <c r="J10">
        <v>84</v>
      </c>
      <c r="K10">
        <v>0.15048353300942274</v>
      </c>
      <c r="L10">
        <v>0.15149439121783903</v>
      </c>
    </row>
    <row r="11" spans="2:14" x14ac:dyDescent="0.7">
      <c r="B11">
        <v>6</v>
      </c>
      <c r="C11">
        <v>0.20507812500000006</v>
      </c>
      <c r="D11">
        <v>6</v>
      </c>
      <c r="F11">
        <v>0.63245553203367588</v>
      </c>
      <c r="J11">
        <v>85</v>
      </c>
      <c r="K11">
        <v>0.20168732797265765</v>
      </c>
      <c r="L11">
        <v>0.20618189121783903</v>
      </c>
    </row>
    <row r="12" spans="2:14" x14ac:dyDescent="0.7">
      <c r="B12">
        <v>7</v>
      </c>
      <c r="C12">
        <v>0.11718750000000003</v>
      </c>
      <c r="D12">
        <v>7</v>
      </c>
      <c r="F12">
        <v>1.2649110640673518</v>
      </c>
      <c r="J12">
        <v>86</v>
      </c>
      <c r="K12">
        <v>0.26648097458621844</v>
      </c>
      <c r="L12">
        <v>0.26086939121783903</v>
      </c>
    </row>
    <row r="13" spans="2:14" x14ac:dyDescent="0.7">
      <c r="B13">
        <v>8</v>
      </c>
      <c r="C13">
        <v>4.3945312499999986E-2</v>
      </c>
      <c r="D13">
        <v>8</v>
      </c>
      <c r="F13">
        <v>1.8973665961010278</v>
      </c>
      <c r="J13">
        <v>87</v>
      </c>
      <c r="K13">
        <v>0.34730740212793787</v>
      </c>
      <c r="L13">
        <v>0.31555689121783903</v>
      </c>
    </row>
    <row r="14" spans="2:14" x14ac:dyDescent="0.7">
      <c r="B14">
        <v>9</v>
      </c>
      <c r="C14">
        <v>9.7656250000000017E-3</v>
      </c>
      <c r="D14">
        <v>9</v>
      </c>
      <c r="F14">
        <v>2.5298221281347035</v>
      </c>
      <c r="J14">
        <v>88</v>
      </c>
      <c r="K14">
        <v>0.44676133725329414</v>
      </c>
      <c r="L14">
        <v>0.40788732068490319</v>
      </c>
    </row>
    <row r="15" spans="2:14" x14ac:dyDescent="0.7">
      <c r="B15">
        <v>10</v>
      </c>
      <c r="C15">
        <v>9.765625E-4</v>
      </c>
      <c r="D15">
        <v>10</v>
      </c>
      <c r="F15">
        <v>3.1622776601683795</v>
      </c>
      <c r="J15">
        <v>89</v>
      </c>
      <c r="K15">
        <v>0.56753930674006803</v>
      </c>
      <c r="L15">
        <v>0.57976232068490319</v>
      </c>
    </row>
    <row r="16" spans="2:14" x14ac:dyDescent="0.7">
      <c r="J16">
        <v>90</v>
      </c>
      <c r="K16">
        <v>0.71238089607367172</v>
      </c>
      <c r="L16">
        <v>0.75163732068490319</v>
      </c>
    </row>
    <row r="17" spans="7:12" x14ac:dyDescent="0.7">
      <c r="J17">
        <v>91</v>
      </c>
      <c r="K17">
        <v>0.88400364647703356</v>
      </c>
      <c r="L17">
        <v>0.92351232068490319</v>
      </c>
    </row>
    <row r="18" spans="7:12" x14ac:dyDescent="0.7">
      <c r="J18">
        <v>92</v>
      </c>
      <c r="K18">
        <v>1.0850344779622993</v>
      </c>
      <c r="L18">
        <v>1.0953873206849032</v>
      </c>
    </row>
    <row r="19" spans="7:12" x14ac:dyDescent="0.7">
      <c r="J19">
        <v>93</v>
      </c>
      <c r="K19">
        <v>1.3179408286409817</v>
      </c>
      <c r="L19">
        <v>1.2672623206849032</v>
      </c>
    </row>
    <row r="20" spans="7:12" x14ac:dyDescent="0.7">
      <c r="G20" s="3" t="s">
        <v>11</v>
      </c>
      <c r="H20" s="3" cm="1">
        <f t="array" ref="H20">SUMPRODUCT(F5:INDEX(F:F, 5+$C$2), C5:INDEX(C:C, 5+$C$2) / SUM(C5:INDEX(C:C, 5+$C$2)))</f>
        <v>3.1658703436576729E-17</v>
      </c>
      <c r="J20">
        <v>94</v>
      </c>
      <c r="K20">
        <v>1.5849647756893894</v>
      </c>
      <c r="L20">
        <v>1.561530627262492</v>
      </c>
    </row>
    <row r="21" spans="7:12" x14ac:dyDescent="0.7">
      <c r="G21" s="3" t="s">
        <v>12</v>
      </c>
      <c r="H21" s="3" cm="1">
        <f t="array" ref="H21">SUMPRODUCT((F5:INDEX(F:F, 5+$C$2))^2, C5:INDEX(C:C, 5+$C$2) / SUM(C5:INDEX(C:C, 5+$C$2)))</f>
        <v>0.99999999999999978</v>
      </c>
      <c r="J21">
        <v>95</v>
      </c>
      <c r="K21">
        <v>1.8880632480607282</v>
      </c>
      <c r="L21">
        <v>1.938483752262492</v>
      </c>
    </row>
    <row r="22" spans="7:12" x14ac:dyDescent="0.7">
      <c r="J22">
        <v>96</v>
      </c>
      <c r="K22">
        <v>2.2288570738163145</v>
      </c>
      <c r="L22">
        <v>2.315436877262492</v>
      </c>
    </row>
    <row r="23" spans="7:12" x14ac:dyDescent="0.7">
      <c r="J23">
        <v>97</v>
      </c>
      <c r="K23">
        <v>2.6085910627585847</v>
      </c>
      <c r="L23">
        <v>2.692390002262492</v>
      </c>
    </row>
    <row r="24" spans="7:12" x14ac:dyDescent="0.7">
      <c r="J24">
        <v>98</v>
      </c>
      <c r="K24">
        <v>3.0281066582734937</v>
      </c>
      <c r="L24">
        <v>3.069343127262492</v>
      </c>
    </row>
    <row r="25" spans="7:12" x14ac:dyDescent="0.7">
      <c r="J25">
        <v>99</v>
      </c>
      <c r="K25">
        <v>3.4878279587501879</v>
      </c>
      <c r="L25">
        <v>3.446296252262492</v>
      </c>
    </row>
    <row r="26" spans="7:12" x14ac:dyDescent="0.7">
      <c r="J26">
        <v>100</v>
      </c>
      <c r="K26">
        <v>3.987761167674492</v>
      </c>
      <c r="L26">
        <v>3.9459687470320333</v>
      </c>
    </row>
    <row r="27" spans="7:12" x14ac:dyDescent="0.7">
      <c r="J27">
        <v>101</v>
      </c>
      <c r="K27">
        <v>4.5275068370385512</v>
      </c>
      <c r="L27">
        <v>4.5690156220320333</v>
      </c>
    </row>
    <row r="28" spans="7:12" x14ac:dyDescent="0.7">
      <c r="J28">
        <v>102</v>
      </c>
      <c r="K28">
        <v>5.1062836665495652</v>
      </c>
      <c r="L28">
        <v>5.1920624970320333</v>
      </c>
    </row>
    <row r="29" spans="7:12" x14ac:dyDescent="0.7">
      <c r="J29">
        <v>103</v>
      </c>
      <c r="K29">
        <v>5.7229621445706016</v>
      </c>
      <c r="L29">
        <v>5.8151093720320333</v>
      </c>
    </row>
    <row r="30" spans="7:12" x14ac:dyDescent="0.7">
      <c r="J30">
        <v>104</v>
      </c>
      <c r="K30">
        <v>6.376105985444056</v>
      </c>
      <c r="L30">
        <v>6.4381562470320333</v>
      </c>
    </row>
    <row r="31" spans="7:12" x14ac:dyDescent="0.7">
      <c r="J31">
        <v>105</v>
      </c>
      <c r="K31">
        <v>7.0640191378988391</v>
      </c>
      <c r="L31">
        <v>7.0612031220320333</v>
      </c>
    </row>
    <row r="32" spans="7:12" x14ac:dyDescent="0.7">
      <c r="J32">
        <v>106</v>
      </c>
      <c r="K32">
        <v>7.7847961044341929</v>
      </c>
      <c r="L32">
        <v>7.6847395769465408</v>
      </c>
    </row>
    <row r="33" spans="10:12" x14ac:dyDescent="0.7">
      <c r="J33">
        <v>107</v>
      </c>
      <c r="K33">
        <v>8.5363734057617648</v>
      </c>
      <c r="L33">
        <v>8.5128645769465408</v>
      </c>
    </row>
    <row r="34" spans="10:12" x14ac:dyDescent="0.7">
      <c r="J34">
        <v>108</v>
      </c>
      <c r="K34">
        <v>9.3165802243033653</v>
      </c>
      <c r="L34">
        <v>9.3409895769465408</v>
      </c>
    </row>
    <row r="35" spans="10:12" x14ac:dyDescent="0.7">
      <c r="J35">
        <v>109</v>
      </c>
      <c r="K35">
        <v>10.123186539019287</v>
      </c>
      <c r="L35">
        <v>10.169114576946541</v>
      </c>
    </row>
    <row r="36" spans="10:12" x14ac:dyDescent="0.7">
      <c r="J36">
        <v>110</v>
      </c>
      <c r="K36">
        <v>10.953947391857227</v>
      </c>
      <c r="L36">
        <v>10.997239576946541</v>
      </c>
    </row>
    <row r="37" spans="10:12" x14ac:dyDescent="0.7">
      <c r="J37">
        <v>111</v>
      </c>
      <c r="K37">
        <v>11.806642276452777</v>
      </c>
      <c r="L37">
        <v>11.825364576946541</v>
      </c>
    </row>
    <row r="38" spans="10:12" x14ac:dyDescent="0.7">
      <c r="J38">
        <v>112</v>
      </c>
      <c r="K38">
        <v>12.679108988059141</v>
      </c>
      <c r="L38">
        <v>12.653489576946541</v>
      </c>
    </row>
    <row r="39" spans="10:12" x14ac:dyDescent="0.7">
      <c r="J39">
        <v>113</v>
      </c>
      <c r="K39">
        <v>13.569271600088328</v>
      </c>
      <c r="L39">
        <v>13.49122085642486</v>
      </c>
    </row>
    <row r="40" spans="10:12" x14ac:dyDescent="0.7">
      <c r="J40">
        <v>114</v>
      </c>
      <c r="K40">
        <v>14.47516252219144</v>
      </c>
      <c r="L40">
        <v>14.43653335642486</v>
      </c>
    </row>
    <row r="41" spans="10:12" x14ac:dyDescent="0.7">
      <c r="J41">
        <v>115</v>
      </c>
      <c r="K41">
        <v>15.394938837716396</v>
      </c>
      <c r="L41">
        <v>15.38184585642486</v>
      </c>
    </row>
    <row r="42" spans="10:12" x14ac:dyDescent="0.7">
      <c r="J42">
        <v>116</v>
      </c>
      <c r="K42">
        <v>16.326893309710854</v>
      </c>
      <c r="L42">
        <v>16.32715835642486</v>
      </c>
    </row>
    <row r="43" spans="10:12" x14ac:dyDescent="0.7">
      <c r="J43">
        <v>117</v>
      </c>
      <c r="K43">
        <v>17.269460583629098</v>
      </c>
      <c r="L43">
        <v>17.27247085642486</v>
      </c>
    </row>
    <row r="44" spans="10:12" x14ac:dyDescent="0.7">
      <c r="J44">
        <v>118</v>
      </c>
      <c r="K44">
        <v>18.221219204170339</v>
      </c>
      <c r="L44">
        <v>18.21778335642486</v>
      </c>
    </row>
    <row r="45" spans="10:12" x14ac:dyDescent="0.7">
      <c r="J45">
        <v>119</v>
      </c>
      <c r="K45">
        <v>19.180890108309015</v>
      </c>
      <c r="L45">
        <v>19.16309585642486</v>
      </c>
    </row>
    <row r="46" spans="10:12" x14ac:dyDescent="0.7">
      <c r="J46">
        <v>120</v>
      </c>
      <c r="K46">
        <v>20.14733226325697</v>
      </c>
      <c r="L46">
        <v>20.10840835642486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Sheet1</vt:lpstr>
      <vt:lpstr>discrete</vt:lpstr>
      <vt:lpstr>f</vt:lpstr>
      <vt:lpstr>k</vt:lpstr>
      <vt:lpstr>n</vt:lpstr>
      <vt:lpstr>normal</vt:lpstr>
      <vt:lpstr>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Lewis</dc:creator>
  <cp:lastModifiedBy>Naveenraj Kamalakannan</cp:lastModifiedBy>
  <dcterms:created xsi:type="dcterms:W3CDTF">2026-03-09T15:54:00Z</dcterms:created>
  <dcterms:modified xsi:type="dcterms:W3CDTF">2026-03-09T20:14:33Z</dcterms:modified>
</cp:coreProperties>
</file>